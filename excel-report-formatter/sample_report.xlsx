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  <sheet xmlns:r="http://schemas.openxmlformats.org/officeDocument/2006/relationships" name="Region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$#,##0.00"/>
    <numFmt numFmtId="167" formatCode="+0.0%;-0.0%;0.0%"/>
    <numFmt numFmtId="168" formatCode="+$#,##0;-$#,##0;$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D1B2A"/>
      <sz val="9"/>
    </font>
    <font>
      <name val="Arial"/>
      <color rgb="0094A3B8"/>
      <sz val="10"/>
    </font>
    <font>
      <name val="Arial"/>
      <b val="1"/>
      <color rgb="000D1B2A"/>
      <sz val="10"/>
    </font>
    <font>
      <name val="Arial"/>
      <color rgb="000D1B2A"/>
      <sz val="10"/>
    </font>
    <font>
      <name val="Arial"/>
      <color rgb="00334155"/>
      <sz val="10"/>
    </font>
    <font>
      <name val="Arial"/>
      <b val="1"/>
      <color rgb="0014532D"/>
      <sz val="10"/>
    </font>
    <font>
      <name val="Arial"/>
      <b val="1"/>
      <color rgb="00085041"/>
      <sz val="9"/>
    </font>
    <font>
      <name val="Arial"/>
      <b val="1"/>
      <color rgb="009F1239"/>
      <sz val="10"/>
    </font>
    <font>
      <name val="Arial"/>
      <b val="1"/>
      <color rgb="00633806"/>
      <sz val="9"/>
    </font>
    <font>
      <name val="Arial"/>
      <b val="1"/>
      <color rgb="0014532D"/>
      <sz val="9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FAFC"/>
      </patternFill>
    </fill>
    <fill>
      <patternFill patternType="solid">
        <fgColor rgb="000D9488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FE4E6"/>
      </patternFill>
    </fill>
    <fill>
      <patternFill patternType="solid">
        <fgColor rgb="00FAEEDA"/>
      </patternFill>
    </fill>
  </fills>
  <borders count="12">
    <border>
      <left/>
      <right/>
      <top/>
      <bottom/>
      <diagonal/>
    </border>
    <border>
      <left style="thin">
        <color rgb="000D1B2A"/>
      </left>
      <right style="thin">
        <color rgb="000D1B2A"/>
      </right>
      <top style="thin">
        <color rgb="000D1B2A"/>
      </top>
      <bottom style="thin">
        <color rgb="000D1B2A"/>
      </bottom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B45309"/>
      </left>
      <right style="thin">
        <color rgb="00B45309"/>
      </right>
      <top style="thin">
        <color rgb="00B45309"/>
      </top>
      <bottom style="thin">
        <color rgb="00B45309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0D9488"/>
      </left>
      <right style="medium">
        <color rgb="000D9488"/>
      </right>
      <top style="medium">
        <color rgb="000D9488"/>
      </top>
      <bottom style="medium">
        <color rgb="000D9488"/>
      </bottom>
    </border>
    <border>
      <left/>
      <right/>
      <top style="medium">
        <color rgb="000D9488"/>
      </top>
      <bottom/>
      <diagonal/>
    </border>
    <border>
      <left/>
      <right style="medium">
        <color rgb="000D9488"/>
      </right>
      <top style="medium">
        <color rgb="000D9488"/>
      </top>
      <bottom/>
      <diagonal/>
    </border>
    <border>
      <left/>
      <right/>
      <top style="medium">
        <color rgb="000D9488"/>
      </top>
      <bottom style="medium">
        <color rgb="000D9488"/>
      </bottom>
      <diagonal/>
    </border>
    <border>
      <left/>
      <right style="medium">
        <color rgb="000D9488"/>
      </right>
      <top style="medium">
        <color rgb="000D9488"/>
      </top>
      <bottom style="medium">
        <color rgb="000D948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left" vertical="center"/>
    </xf>
    <xf numFmtId="0" fontId="8" fillId="3" borderId="6" applyAlignment="1" pivotButton="0" quotePrefix="0" xfId="0">
      <alignment horizontal="center" vertical="center"/>
    </xf>
    <xf numFmtId="164" fontId="9" fillId="7" borderId="6" applyAlignment="1" pivotButton="0" quotePrefix="0" xfId="0">
      <alignment horizontal="center" vertical="center"/>
    </xf>
    <xf numFmtId="3" fontId="9" fillId="7" borderId="6" applyAlignment="1" pivotButton="0" quotePrefix="0" xfId="0">
      <alignment horizontal="center" vertical="center"/>
    </xf>
    <xf numFmtId="165" fontId="9" fillId="8" borderId="6" applyAlignment="1" pivotButton="0" quotePrefix="0" xfId="0">
      <alignment horizontal="center" vertical="center"/>
    </xf>
    <xf numFmtId="166" fontId="9" fillId="8" borderId="6" applyAlignment="1" pivotButton="0" quotePrefix="0" xfId="0">
      <alignment horizontal="center" vertical="center"/>
    </xf>
    <xf numFmtId="167" fontId="10" fillId="9" borderId="6" applyAlignment="1" pivotButton="0" quotePrefix="0" xfId="0">
      <alignment horizontal="center" vertical="center"/>
    </xf>
    <xf numFmtId="168" fontId="10" fillId="9" borderId="6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7" fillId="10" borderId="6" applyAlignment="1" pivotButton="0" quotePrefix="0" xfId="0">
      <alignment horizontal="left" vertical="center"/>
    </xf>
    <xf numFmtId="0" fontId="8" fillId="10" borderId="6" applyAlignment="1" pivotButton="0" quotePrefix="0" xfId="0">
      <alignment horizontal="center" vertical="center"/>
    </xf>
    <xf numFmtId="167" fontId="12" fillId="11" borderId="6" applyAlignment="1" pivotButton="0" quotePrefix="0" xfId="0">
      <alignment horizontal="center" vertical="center"/>
    </xf>
    <xf numFmtId="168" fontId="12" fillId="11" borderId="6" applyAlignment="1" pivotButton="0" quotePrefix="0" xfId="0">
      <alignment horizontal="center" vertical="center"/>
    </xf>
    <xf numFmtId="0" fontId="13" fillId="12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3" fillId="2" borderId="7" applyAlignment="1" pivotButton="0" quotePrefix="0" xfId="0">
      <alignment horizontal="center" vertical="center"/>
    </xf>
    <xf numFmtId="3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0">
      <alignment horizontal="center" vertical="center"/>
    </xf>
    <xf numFmtId="168" fontId="3" fillId="2" borderId="7" applyAlignment="1" pivotButton="0" quotePrefix="0" xfId="0">
      <alignment horizontal="center" vertical="center"/>
    </xf>
    <xf numFmtId="165" fontId="10" fillId="9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K1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3" customWidth="1" min="4" max="4"/>
    <col width="13" customWidth="1" min="5" max="5"/>
    <col width="10" customWidth="1" min="6" max="6"/>
    <col width="11" customWidth="1" min="7" max="7"/>
    <col width="13" customWidth="1" min="8" max="8"/>
    <col width="10" customWidth="1" min="9" max="9"/>
    <col width="13" customWidth="1" min="10" max="10"/>
    <col width="15" customWidth="1" min="11" max="11"/>
  </cols>
  <sheetData>
    <row r="1" ht="36" customHeight="1">
      <c r="A1" s="1" t="inlineStr">
        <is>
          <t xml:space="preserve">  Q1 Sales Performance Report  |  Sample Dataset</t>
        </is>
      </c>
    </row>
    <row r="2" ht="18" customHeight="1">
      <c r="A2" s="2" t="inlineStr">
        <is>
          <t xml:space="preserve">  Perf Tier: ≥110% = Top Performer · ≥95% = Above Average · ≥80% = Below Average · &lt;80% = Needs Attention</t>
        </is>
      </c>
    </row>
    <row r="3" ht="6" customHeight="1"/>
    <row r="4" ht="22" customHeight="1">
      <c r="A4" s="3" t="inlineStr">
        <is>
          <t>Identity</t>
        </is>
      </c>
      <c r="D4" s="4" t="inlineStr">
        <is>
          <t>Sales Volume</t>
        </is>
      </c>
      <c r="G4" s="5" t="inlineStr">
        <is>
          <t>Performance</t>
        </is>
      </c>
      <c r="J4" s="6" t="inlineStr">
        <is>
          <t>Status</t>
        </is>
      </c>
    </row>
    <row r="5" ht="46" customHeight="1">
      <c r="A5" s="7" t="inlineStr">
        <is>
          <t>ID</t>
        </is>
      </c>
      <c r="B5" s="7" t="inlineStr">
        <is>
          <t>Sales Rep</t>
        </is>
      </c>
      <c r="C5" s="7" t="inlineStr">
        <is>
          <t>Region</t>
        </is>
      </c>
      <c r="D5" s="8" t="inlineStr">
        <is>
          <t>Q1 Target</t>
        </is>
      </c>
      <c r="E5" s="8" t="inlineStr">
        <is>
          <t>Q1 Sales</t>
        </is>
      </c>
      <c r="F5" s="8" t="inlineStr">
        <is>
          <t>Units
Sold</t>
        </is>
      </c>
      <c r="G5" s="9" t="inlineStr">
        <is>
          <t>% of
Target</t>
        </is>
      </c>
      <c r="H5" s="9" t="inlineStr">
        <is>
          <t>Avg Deal
Size</t>
        </is>
      </c>
      <c r="I5" s="9" t="inlineStr">
        <is>
          <t>Growth %</t>
        </is>
      </c>
      <c r="J5" s="10" t="inlineStr">
        <is>
          <t>Variance</t>
        </is>
      </c>
      <c r="K5" s="10" t="inlineStr">
        <is>
          <t>Perf Tier</t>
        </is>
      </c>
    </row>
    <row r="6" ht="18" customHeight="1">
      <c r="A6" s="11" t="n">
        <v>1</v>
      </c>
      <c r="B6" s="12" t="inlineStr">
        <is>
          <t>Alice Morgan</t>
        </is>
      </c>
      <c r="C6" s="13" t="inlineStr">
        <is>
          <t>North</t>
        </is>
      </c>
      <c r="D6" s="14" t="n">
        <v>120000</v>
      </c>
      <c r="E6" s="14" t="n">
        <v>134500</v>
      </c>
      <c r="F6" s="15" t="n">
        <v>1345</v>
      </c>
      <c r="G6" s="16" t="n">
        <v>1.1208</v>
      </c>
      <c r="H6" s="17" t="n">
        <v>100</v>
      </c>
      <c r="I6" s="18" t="n">
        <v>0.08</v>
      </c>
      <c r="J6" s="19" t="n">
        <v>14500</v>
      </c>
      <c r="K6" s="20" t="inlineStr">
        <is>
          <t>Top Performer</t>
        </is>
      </c>
    </row>
    <row r="7" ht="18" customHeight="1">
      <c r="A7" s="21" t="n">
        <v>2</v>
      </c>
      <c r="B7" s="22" t="inlineStr">
        <is>
          <t>Brian Osei</t>
        </is>
      </c>
      <c r="C7" s="23" t="inlineStr">
        <is>
          <t>North</t>
        </is>
      </c>
      <c r="D7" s="14" t="n">
        <v>95000</v>
      </c>
      <c r="E7" s="14" t="n">
        <v>88200</v>
      </c>
      <c r="F7" s="15" t="n">
        <v>882</v>
      </c>
      <c r="G7" s="16" t="n">
        <v>0.9284</v>
      </c>
      <c r="H7" s="17" t="n">
        <v>100</v>
      </c>
      <c r="I7" s="24" t="n">
        <v>-0.04</v>
      </c>
      <c r="J7" s="25" t="n">
        <v>-6800</v>
      </c>
      <c r="K7" s="26" t="inlineStr">
        <is>
          <t>Below Average</t>
        </is>
      </c>
    </row>
    <row r="8" ht="18" customHeight="1">
      <c r="A8" s="11" t="n">
        <v>3</v>
      </c>
      <c r="B8" s="12" t="inlineStr">
        <is>
          <t>Carla Diaz</t>
        </is>
      </c>
      <c r="C8" s="13" t="inlineStr">
        <is>
          <t>South</t>
        </is>
      </c>
      <c r="D8" s="14" t="n">
        <v>140000</v>
      </c>
      <c r="E8" s="14" t="n">
        <v>152300</v>
      </c>
      <c r="F8" s="15" t="n">
        <v>1523</v>
      </c>
      <c r="G8" s="16" t="n">
        <v>1.0879</v>
      </c>
      <c r="H8" s="17" t="n">
        <v>100</v>
      </c>
      <c r="I8" s="18" t="n">
        <v>0.15</v>
      </c>
      <c r="J8" s="19" t="n">
        <v>12300</v>
      </c>
      <c r="K8" s="27" t="inlineStr">
        <is>
          <t>Above Average</t>
        </is>
      </c>
    </row>
    <row r="9" ht="18" customHeight="1">
      <c r="A9" s="21" t="n">
        <v>4</v>
      </c>
      <c r="B9" s="22" t="inlineStr">
        <is>
          <t>David Kim</t>
        </is>
      </c>
      <c r="C9" s="23" t="inlineStr">
        <is>
          <t>South</t>
        </is>
      </c>
      <c r="D9" s="14" t="n">
        <v>105000</v>
      </c>
      <c r="E9" s="14" t="n">
        <v>101800</v>
      </c>
      <c r="F9" s="15" t="n">
        <v>1018</v>
      </c>
      <c r="G9" s="16" t="n">
        <v>0.9695</v>
      </c>
      <c r="H9" s="17" t="n">
        <v>100</v>
      </c>
      <c r="I9" s="18" t="n">
        <v>0.03</v>
      </c>
      <c r="J9" s="25" t="n">
        <v>-3200</v>
      </c>
      <c r="K9" s="27" t="inlineStr">
        <is>
          <t>Above Average</t>
        </is>
      </c>
    </row>
    <row r="10" ht="18" customHeight="1">
      <c r="A10" s="11" t="n">
        <v>5</v>
      </c>
      <c r="B10" s="12" t="inlineStr">
        <is>
          <t>Elena Frost</t>
        </is>
      </c>
      <c r="C10" s="13" t="inlineStr">
        <is>
          <t>East</t>
        </is>
      </c>
      <c r="D10" s="14" t="n">
        <v>130000</v>
      </c>
      <c r="E10" s="14" t="n">
        <v>128900</v>
      </c>
      <c r="F10" s="15" t="n">
        <v>1289</v>
      </c>
      <c r="G10" s="16" t="n">
        <v>0.9915</v>
      </c>
      <c r="H10" s="17" t="n">
        <v>100</v>
      </c>
      <c r="I10" s="24" t="n">
        <v>-0.02</v>
      </c>
      <c r="J10" s="25" t="n">
        <v>-1100</v>
      </c>
      <c r="K10" s="27" t="inlineStr">
        <is>
          <t>Above Average</t>
        </is>
      </c>
    </row>
    <row r="11" ht="18" customHeight="1">
      <c r="A11" s="21" t="n">
        <v>6</v>
      </c>
      <c r="B11" s="22" t="inlineStr">
        <is>
          <t>Felix Ramos</t>
        </is>
      </c>
      <c r="C11" s="23" t="inlineStr">
        <is>
          <t>East</t>
        </is>
      </c>
      <c r="D11" s="14" t="n">
        <v>88000</v>
      </c>
      <c r="E11" s="14" t="n">
        <v>96400</v>
      </c>
      <c r="F11" s="15" t="n">
        <v>964</v>
      </c>
      <c r="G11" s="16" t="n">
        <v>1.0955</v>
      </c>
      <c r="H11" s="17" t="n">
        <v>100</v>
      </c>
      <c r="I11" s="18" t="n">
        <v>0.21</v>
      </c>
      <c r="J11" s="19" t="n">
        <v>8400</v>
      </c>
      <c r="K11" s="27" t="inlineStr">
        <is>
          <t>Above Average</t>
        </is>
      </c>
    </row>
    <row r="12" ht="18" customHeight="1">
      <c r="A12" s="11" t="n">
        <v>7</v>
      </c>
      <c r="B12" s="12" t="inlineStr">
        <is>
          <t>Grace Liu</t>
        </is>
      </c>
      <c r="C12" s="13" t="inlineStr">
        <is>
          <t>West</t>
        </is>
      </c>
      <c r="D12" s="14" t="n">
        <v>115000</v>
      </c>
      <c r="E12" s="14" t="n">
        <v>107600</v>
      </c>
      <c r="F12" s="15" t="n">
        <v>1076</v>
      </c>
      <c r="G12" s="16" t="n">
        <v>0.9357</v>
      </c>
      <c r="H12" s="17" t="n">
        <v>100</v>
      </c>
      <c r="I12" s="18" t="n">
        <v>0.06</v>
      </c>
      <c r="J12" s="25" t="n">
        <v>-7400</v>
      </c>
      <c r="K12" s="26" t="inlineStr">
        <is>
          <t>Below Average</t>
        </is>
      </c>
    </row>
    <row r="13" ht="18" customHeight="1">
      <c r="A13" s="21" t="n">
        <v>8</v>
      </c>
      <c r="B13" s="22" t="inlineStr">
        <is>
          <t>Hank Patel</t>
        </is>
      </c>
      <c r="C13" s="23" t="inlineStr">
        <is>
          <t>West</t>
        </is>
      </c>
      <c r="D13" s="14" t="n">
        <v>100000</v>
      </c>
      <c r="E13" s="14" t="n">
        <v>118500</v>
      </c>
      <c r="F13" s="15" t="n">
        <v>1185</v>
      </c>
      <c r="G13" s="16" t="n">
        <v>1.185</v>
      </c>
      <c r="H13" s="17" t="n">
        <v>100</v>
      </c>
      <c r="I13" s="18" t="n">
        <v>0.12</v>
      </c>
      <c r="J13" s="19" t="n">
        <v>18500</v>
      </c>
      <c r="K13" s="20" t="inlineStr">
        <is>
          <t>Top Performer</t>
        </is>
      </c>
    </row>
    <row r="14" ht="18" customHeight="1">
      <c r="A14" s="11" t="n">
        <v>9</v>
      </c>
      <c r="B14" s="12" t="inlineStr">
        <is>
          <t>Iris Chen</t>
        </is>
      </c>
      <c r="C14" s="13" t="inlineStr">
        <is>
          <t>Central</t>
        </is>
      </c>
      <c r="D14" s="14" t="n">
        <v>97000</v>
      </c>
      <c r="E14" s="14" t="n">
        <v>80200</v>
      </c>
      <c r="F14" s="15" t="n">
        <v>802</v>
      </c>
      <c r="G14" s="16" t="n">
        <v>0.8268</v>
      </c>
      <c r="H14" s="17" t="n">
        <v>100</v>
      </c>
      <c r="I14" s="24" t="n">
        <v>-0.07000000000000001</v>
      </c>
      <c r="J14" s="25" t="n">
        <v>-16800</v>
      </c>
      <c r="K14" s="26" t="inlineStr">
        <is>
          <t>Below Average</t>
        </is>
      </c>
    </row>
    <row r="15" ht="18" customHeight="1">
      <c r="A15" s="21" t="n">
        <v>10</v>
      </c>
      <c r="B15" s="22" t="inlineStr">
        <is>
          <t>James Okafor</t>
        </is>
      </c>
      <c r="C15" s="23" t="inlineStr">
        <is>
          <t>Central</t>
        </is>
      </c>
      <c r="D15" s="14" t="n">
        <v>75000</v>
      </c>
      <c r="E15" s="14" t="n">
        <v>84700</v>
      </c>
      <c r="F15" s="15" t="n">
        <v>847</v>
      </c>
      <c r="G15" s="16" t="n">
        <v>1.1293</v>
      </c>
      <c r="H15" s="17" t="n">
        <v>100</v>
      </c>
      <c r="I15" s="18" t="n">
        <v>0.18</v>
      </c>
      <c r="J15" s="19" t="n">
        <v>9700</v>
      </c>
      <c r="K15" s="20" t="inlineStr">
        <is>
          <t>Top Performer</t>
        </is>
      </c>
    </row>
    <row r="16">
      <c r="A16" s="28" t="inlineStr">
        <is>
          <t>TOTALS</t>
        </is>
      </c>
      <c r="B16" s="29" t="n"/>
      <c r="C16" s="30" t="n"/>
      <c r="D16" s="31">
        <f>SUM(D6:D15)</f>
        <v/>
      </c>
      <c r="E16" s="31">
        <f>SUM(E6:E15)</f>
        <v/>
      </c>
      <c r="F16" s="32">
        <f>SUM(F6:F15)</f>
        <v/>
      </c>
      <c r="G16" s="33">
        <f>AVERAGE(G6:G15)</f>
        <v/>
      </c>
      <c r="H16" s="28" t="n"/>
      <c r="I16" s="28" t="n"/>
      <c r="J16" s="34">
        <f>SUM(J6:J15)</f>
        <v/>
      </c>
      <c r="K16" s="28" t="n"/>
    </row>
  </sheetData>
  <mergeCells count="7">
    <mergeCell ref="J4:K4"/>
    <mergeCell ref="D4:F4"/>
    <mergeCell ref="A2:K2"/>
    <mergeCell ref="G4:I4"/>
    <mergeCell ref="A4:C4"/>
    <mergeCell ref="A1:K1"/>
    <mergeCell ref="A16:C16"/>
  </mergeCells>
  <conditionalFormatting sqref="G6:G15">
    <cfRule type="colorScale" priority="1">
      <colorScale>
        <cfvo type="min"/>
        <cfvo type="percentile" val="50"/>
        <cfvo type="max"/>
        <color rgb="00FFE4E6"/>
        <color rgb="00FEF3C7"/>
        <color rgb="00DCFCE7"/>
      </colorScale>
    </cfRule>
  </conditionalFormatting>
  <conditionalFormatting sqref="E6:E15">
    <cfRule type="dataBar" priority="2">
      <dataBar>
        <cfvo type="min" val="0"/>
        <cfvo type="max"/>
        <color rgb="000D9488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G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4" customWidth="1" min="3" max="3"/>
    <col width="14" customWidth="1" min="4" max="4"/>
    <col width="10" customWidth="1" min="5" max="5"/>
    <col width="12" customWidth="1" min="6" max="6"/>
    <col width="14" customWidth="1" min="7" max="7"/>
  </cols>
  <sheetData>
    <row r="1" ht="36" customHeight="1">
      <c r="A1" s="1" t="inlineStr">
        <is>
          <t xml:space="preserve">  Regional Summary  |  Q1 Sales Performance</t>
        </is>
      </c>
    </row>
    <row r="2" ht="18" customHeight="1">
      <c r="A2" s="2" t="inlineStr">
        <is>
          <t xml:space="preserve">  Aggregated from individual rep data on the Sales Report sheet.</t>
        </is>
      </c>
    </row>
    <row r="3" ht="8" customHeight="1"/>
    <row r="4" ht="22" customHeight="1">
      <c r="A4" s="3" t="inlineStr">
        <is>
          <t>Region</t>
        </is>
      </c>
      <c r="B4" s="4" t="inlineStr">
        <is>
          <t>Sales Volume</t>
        </is>
      </c>
      <c r="F4" s="5" t="inlineStr">
        <is>
          <t>Performance</t>
        </is>
      </c>
    </row>
    <row r="5" ht="40" customHeight="1">
      <c r="A5" s="7" t="inlineStr">
        <is>
          <t>Region</t>
        </is>
      </c>
      <c r="B5" s="8" t="inlineStr">
        <is>
          <t>Reps</t>
        </is>
      </c>
      <c r="C5" s="8" t="inlineStr">
        <is>
          <t>Q1 Target</t>
        </is>
      </c>
      <c r="D5" s="8" t="inlineStr">
        <is>
          <t>Q1 Sales</t>
        </is>
      </c>
      <c r="E5" s="8" t="inlineStr">
        <is>
          <t>Units</t>
        </is>
      </c>
      <c r="F5" s="9" t="inlineStr">
        <is>
          <t>% of
Target</t>
        </is>
      </c>
      <c r="G5" s="9" t="inlineStr">
        <is>
          <t>Variance</t>
        </is>
      </c>
    </row>
    <row r="6" ht="18" customHeight="1">
      <c r="A6" s="12" t="inlineStr">
        <is>
          <t>Central</t>
        </is>
      </c>
      <c r="B6" s="15" t="n">
        <v>2</v>
      </c>
      <c r="C6" s="14" t="n">
        <v>172000</v>
      </c>
      <c r="D6" s="14" t="n">
        <v>164900</v>
      </c>
      <c r="E6" s="15" t="n">
        <v>1649</v>
      </c>
      <c r="F6" s="35" t="n">
        <v>0.9587</v>
      </c>
      <c r="G6" s="25" t="n">
        <v>-7100</v>
      </c>
    </row>
    <row r="7" ht="18" customHeight="1">
      <c r="A7" s="22" t="inlineStr">
        <is>
          <t>East</t>
        </is>
      </c>
      <c r="B7" s="15" t="n">
        <v>2</v>
      </c>
      <c r="C7" s="14" t="n">
        <v>218000</v>
      </c>
      <c r="D7" s="14" t="n">
        <v>225300</v>
      </c>
      <c r="E7" s="15" t="n">
        <v>2253</v>
      </c>
      <c r="F7" s="35" t="n">
        <v>1.0335</v>
      </c>
      <c r="G7" s="19" t="n">
        <v>7300</v>
      </c>
    </row>
    <row r="8" ht="18" customHeight="1">
      <c r="A8" s="12" t="inlineStr">
        <is>
          <t>North</t>
        </is>
      </c>
      <c r="B8" s="15" t="n">
        <v>2</v>
      </c>
      <c r="C8" s="14" t="n">
        <v>215000</v>
      </c>
      <c r="D8" s="14" t="n">
        <v>222700</v>
      </c>
      <c r="E8" s="15" t="n">
        <v>2227</v>
      </c>
      <c r="F8" s="35" t="n">
        <v>1.0358</v>
      </c>
      <c r="G8" s="19" t="n">
        <v>7700</v>
      </c>
    </row>
    <row r="9" ht="18" customHeight="1">
      <c r="A9" s="22" t="inlineStr">
        <is>
          <t>South</t>
        </is>
      </c>
      <c r="B9" s="15" t="n">
        <v>2</v>
      </c>
      <c r="C9" s="14" t="n">
        <v>245000</v>
      </c>
      <c r="D9" s="14" t="n">
        <v>254100</v>
      </c>
      <c r="E9" s="15" t="n">
        <v>2541</v>
      </c>
      <c r="F9" s="35" t="n">
        <v>1.0371</v>
      </c>
      <c r="G9" s="19" t="n">
        <v>9100</v>
      </c>
    </row>
    <row r="10" ht="18" customHeight="1">
      <c r="A10" s="12" t="inlineStr">
        <is>
          <t>West</t>
        </is>
      </c>
      <c r="B10" s="15" t="n">
        <v>2</v>
      </c>
      <c r="C10" s="14" t="n">
        <v>215000</v>
      </c>
      <c r="D10" s="14" t="n">
        <v>226100</v>
      </c>
      <c r="E10" s="15" t="n">
        <v>2261</v>
      </c>
      <c r="F10" s="35" t="n">
        <v>1.0516</v>
      </c>
      <c r="G10" s="19" t="n">
        <v>11100</v>
      </c>
    </row>
    <row r="11">
      <c r="A11" s="28" t="inlineStr">
        <is>
          <t>GRAND TOTAL</t>
        </is>
      </c>
      <c r="B11" s="28" t="n"/>
      <c r="C11" s="31">
        <f>SUM(C6:C10)</f>
        <v/>
      </c>
      <c r="D11" s="31">
        <f>SUM(D6:D10)</f>
        <v/>
      </c>
      <c r="E11" s="32">
        <f>SUM(E6:E10)</f>
        <v/>
      </c>
      <c r="F11" s="33">
        <f>AVERAGE(F6:F10)</f>
        <v/>
      </c>
      <c r="G11" s="34">
        <f>SUM(G6:G10)</f>
        <v/>
      </c>
    </row>
  </sheetData>
  <mergeCells count="4">
    <mergeCell ref="F4:G4"/>
    <mergeCell ref="A2:G2"/>
    <mergeCell ref="A1:G1"/>
    <mergeCell ref="B4:E4"/>
  </mergeCells>
  <conditionalFormatting sqref="F6:F10">
    <cfRule type="colorScale" priority="1">
      <colorScale>
        <cfvo type="min"/>
        <cfvo type="percentile" val="50"/>
        <cfvo type="max"/>
        <color rgb="00FFE4E6"/>
        <color rgb="00FEF3C7"/>
        <color rgb="00DCFCE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2026-05-23T12:27:36Z</dcterms:created>
  <dcterms:modified xmlns:dcterms="http://purl.org/dc/terms/" xmlns:xsi="http://www.w3.org/2001/XMLSchema-instance" xsi:type="dcterms:W3CDTF">2026-05-23T12:27:36Z</dcterms:modified>
</cp:coreProperties>
</file>